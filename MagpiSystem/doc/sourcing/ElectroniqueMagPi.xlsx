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DocV4\MagpiSystem\doc\sourcing\"/>
    </mc:Choice>
  </mc:AlternateContent>
  <xr:revisionPtr revIDLastSave="0" documentId="13_ncr:1_{458B489F-B60E-43DC-87E9-B74D625687E7}" xr6:coauthVersionLast="36" xr6:coauthVersionMax="36" xr10:uidLastSave="{00000000-0000-0000-0000-000000000000}"/>
  <bookViews>
    <workbookView xWindow="0" yWindow="0" windowWidth="19200" windowHeight="7070" tabRatio="500" xr2:uid="{00000000-000D-0000-FFFF-FFFF00000000}"/>
  </bookViews>
  <sheets>
    <sheet name="Liste_Materiel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" i="1" l="1"/>
  <c r="K12" i="1"/>
  <c r="K13" i="1"/>
  <c r="J25" i="1" l="1"/>
  <c r="K25" i="1" s="1"/>
  <c r="K24" i="1"/>
  <c r="K23" i="1"/>
  <c r="K22" i="1"/>
  <c r="K21" i="1"/>
  <c r="K20" i="1"/>
  <c r="J19" i="1"/>
  <c r="K19" i="1" s="1"/>
  <c r="K15" i="1"/>
  <c r="K14" i="1"/>
  <c r="J10" i="1"/>
  <c r="K10" i="1" s="1"/>
  <c r="J9" i="1"/>
  <c r="K9" i="1" s="1"/>
  <c r="J8" i="1"/>
  <c r="K8" i="1" s="1"/>
  <c r="K7" i="1"/>
  <c r="K6" i="1"/>
  <c r="K5" i="1"/>
  <c r="J4" i="1"/>
  <c r="K4" i="1" s="1"/>
  <c r="E1" i="1"/>
  <c r="K16" i="1" l="1"/>
  <c r="K26" i="1"/>
</calcChain>
</file>

<file path=xl/sharedStrings.xml><?xml version="1.0" encoding="utf-8"?>
<sst xmlns="http://schemas.openxmlformats.org/spreadsheetml/2006/main" count="108" uniqueCount="84">
  <si>
    <t>Dernière mise à jour :</t>
  </si>
  <si>
    <t>Catégorie</t>
  </si>
  <si>
    <t>Composant</t>
  </si>
  <si>
    <t>Désignation fournisseur</t>
  </si>
  <si>
    <t>Référence fournisseur</t>
  </si>
  <si>
    <t>Détails</t>
  </si>
  <si>
    <t>Fournisseur</t>
  </si>
  <si>
    <t>Lien fournisseur</t>
  </si>
  <si>
    <t>Quantité</t>
  </si>
  <si>
    <t>Prix unitaire (HT)</t>
  </si>
  <si>
    <t>Prix unitaire (TTC)</t>
  </si>
  <si>
    <t>Prix total (TTC)</t>
  </si>
  <si>
    <t>Raspberry Pi</t>
  </si>
  <si>
    <t>Raspberry Pi 5</t>
  </si>
  <si>
    <t>Kubii</t>
  </si>
  <si>
    <t>https://www.kubii.com/fr/cartes-nano-ordinateurs/4106-1832-raspberry-pi-5-3272496315938.html#/ram-8_gb</t>
  </si>
  <si>
    <t>Batterie RTC</t>
  </si>
  <si>
    <t>Batterie RTC pour Raspberry Pi 5</t>
  </si>
  <si>
    <t>https://www.kubii.com/fr/batteries-piles/4110-batterie-pour-l-horloge-en-temps-reel-du-raspberry-pi-5-5056561803739.html</t>
  </si>
  <si>
    <t>-</t>
  </si>
  <si>
    <t>Dissipateurs thermiques</t>
  </si>
  <si>
    <t>Set de 4 heat sinks aluminium</t>
  </si>
  <si>
    <t>https://www.kubii.com/fr/ventilateurs-dissipateurs-thermiques/2739-set-de-4-heat-sink-aluminium-noir-kubii-3272496299450.html</t>
  </si>
  <si>
    <t>Carte Micro-SD SanDisk Classe 10</t>
  </si>
  <si>
    <t>Caméra</t>
  </si>
  <si>
    <t>Caméra HQ officielle - Monture C vers CS</t>
  </si>
  <si>
    <t>https://www.kubii.com/fr/cameras-capteurs/2950-camera-hq-officielle-5056561800127.html</t>
  </si>
  <si>
    <t>RS</t>
  </si>
  <si>
    <t>Objectif caméra</t>
  </si>
  <si>
    <t>Objectif à Distance Focale Fixe Série UC 4 mm</t>
  </si>
  <si>
    <t>Edmund Optics</t>
  </si>
  <si>
    <t>http://edmundoptics.fr/p/4mm-uc-series-fixed-focal-length-lens/2966/</t>
  </si>
  <si>
    <t>Nappes caméra</t>
  </si>
  <si>
    <t>Jeu de 3 nappes pour Pi Zero et Pi 5 RB-CAM-ZERO pour caméras MIPI-CSI</t>
  </si>
  <si>
    <t>Gotronic</t>
  </si>
  <si>
    <t>https://www.gotronic.fr/art-jeu-de-3-nappes-pour-pi-zero-et-pi-5-rb-cam-zero-35326.htm</t>
  </si>
  <si>
    <t>Amazon</t>
  </si>
  <si>
    <t>Kit supports Raspberry Pi HAT</t>
  </si>
  <si>
    <t>Geekworm Raspberry Pi Outil d’Installation 100 pcs/lot série M2.5 Hex Brass Spacer/Standoff + Écrou + vis Accessoires pour Raspberry Pi 5 / Raspberry Pi 4/3 B + / 3B / 3A + / Zero W</t>
  </si>
  <si>
    <t>https://www.amazon.fr/Geekworm-Raspberry-Installation-Hexagonale-Accessoires/dp/B07MN2GY6Y/ref=sr_1_21</t>
  </si>
  <si>
    <t>Connecteurs JST + pince à sertir</t>
  </si>
  <si>
    <t>0.08-1mm² Pince a Sertir, Preciva Outil de Sertissage AWG28-18 avec 1350 JST Connecteurs, Pince à Sertir JST pour PH/YH 2.0mm, XH/C3-R 2.54mm, JST/Molex IDE(5559)/ATX(5557) Brochage Connecteur</t>
  </si>
  <si>
    <t>https://www.amazon.fr/0-08-1mm%C2%B2-Preciva-Sertissage-Connecteurs-Connecteur/dp/B0CVVXWQV1</t>
  </si>
  <si>
    <t>Cosses + pince à sertir</t>
  </si>
  <si>
    <t>Aissom Pince à Sertir,Pinces à Sertir à Cliquet a 0.5-10mm²,Pince à Cosse de Câblevec Cosse Electrique 1200pcs,Auto-Réglable pour soudage électrique ou les industries électriques.</t>
  </si>
  <si>
    <t>https://www.amazon.fr/Aissom-Electrique-Auto-R%C3%A9glable-%C3%A9lectrique-%C3%A9lectriques/dp/B0CZQKQK5L</t>
  </si>
  <si>
    <t>Jeu de gaines thermo-rétractable</t>
  </si>
  <si>
    <t>ASHINER Gaine Thermorétractable Câble Électrique - 580 Pièces Gaines Thermoretractables Ratio 2:1, Kit de Tube de Câble D'isolation Électrique (6 Couleurs, 11 Tailles)</t>
  </si>
  <si>
    <t>https://www.amazon.fr/ASHINER-Assortiment-thermor%C3%A9tractables-isolation-%C3%A9lectrique/dp/B08XXGNJHG</t>
  </si>
  <si>
    <t>Vis caméra</t>
  </si>
  <si>
    <t xml:space="preserve">X3 1/4" Vis de Fixation 1/4 pour Appareil Photo DSLR Trépied Monopode Plateau Rapide - ADAPTOUT Marque FRANÇAISE
</t>
  </si>
  <si>
    <t>https://www.amazon.fr/Fixation-Appareil-Tr%C3%A9pied-Monopode-Plateau/dp/B074X453CY</t>
  </si>
  <si>
    <t>Total (TTC)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</si>
  <si>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</si>
  <si>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</si>
  <si>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</si>
  <si>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</si>
  <si>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</si>
  <si>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</si>
  <si>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</si>
  <si>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</si>
  <si>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</si>
  <si>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</si>
  <si>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</si>
  <si>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Connecteurs XT30</t>
  </si>
  <si>
    <t>YIXISI 15 Paires XT30 Batterie Connecteur, XT30 Connecteur mâle et Femelle, avec Thermorétractable Tube, pour RC Lipo Battery</t>
  </si>
  <si>
    <t>https://www.amazon.fr/YIXISI-Batterie-Connecteur-Femelle-Thermor%C3%A9tractable/dp/B0CF898DV3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</si>
  <si>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</si>
  <si>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</si>
  <si>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</si>
  <si>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</si>
  <si>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</si>
  <si>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</si>
  <si>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Câbles d’équilibrage</t>
  </si>
  <si>
    <t>Cordon JST PH femelle 4 cts JST4 vers fils - avec embase JST mâle à souder</t>
  </si>
  <si>
    <t>https://www.gotronic.fr/art-cordon-jst-ph-femelle-4-cts-jst4-22571.htm</t>
  </si>
  <si>
    <t>IDS est moins cher</t>
  </si>
  <si>
    <t>Favoriser la récup.</t>
  </si>
  <si>
    <t>O Fauvarque</t>
  </si>
  <si>
    <t>Nomenclature KOSMOS Mini</t>
  </si>
  <si>
    <t xml:space="preserve">Carte micro SD 128 Go </t>
  </si>
  <si>
    <t>Electronique</t>
  </si>
  <si>
    <t>Batterie</t>
  </si>
  <si>
    <t>https://fr.rs-online.com/web/p/cartes-sd/1871638?searchId=fb79abff-b82b-4a41-aa4a-3c41d46d264b&amp;gb=s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</si>
</sst>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27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0" fontId="20" fillId="0" borderId="0" applyBorder="0" applyProtection="0"/>
    <xf numFmtId="0" fontId="24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4" fillId="0" borderId="0">
      <alignment horizontal="left"/>
    </xf>
    <xf numFmtId="0" fontId="24" fillId="0" borderId="0"/>
    <xf numFmtId="0" fontId="24" fillId="0" borderId="0"/>
    <xf numFmtId="0" fontId="4" fillId="7" borderId="1"/>
    <xf numFmtId="0" fontId="24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4" fillId="12" borderId="0"/>
    <xf numFmtId="0" fontId="24" fillId="0" borderId="0"/>
    <xf numFmtId="0" fontId="24" fillId="0" borderId="0"/>
    <xf numFmtId="0" fontId="4" fillId="0" borderId="0">
      <alignment horizontal="left"/>
    </xf>
    <xf numFmtId="0" fontId="24" fillId="0" borderId="0"/>
    <xf numFmtId="0" fontId="3" fillId="0" borderId="0"/>
  </cellStyleXfs>
  <cellXfs count="72">
    <xf numFmtId="0" fontId="0" fillId="0" borderId="0" xfId="0"/>
    <xf numFmtId="0" fontId="14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/>
    </xf>
    <xf numFmtId="164" fontId="18" fillId="13" borderId="2" xfId="0" applyNumberFormat="1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</xf>
    <xf numFmtId="0" fontId="22" fillId="3" borderId="2" xfId="0" applyFont="1" applyFill="1" applyBorder="1" applyAlignment="1" applyProtection="1">
      <alignment horizontal="left" vertical="center" textRotation="180"/>
    </xf>
    <xf numFmtId="0" fontId="21" fillId="3" borderId="2" xfId="0" applyFont="1" applyFill="1" applyBorder="1" applyAlignment="1" applyProtection="1">
      <alignment horizontal="left" vertical="center"/>
    </xf>
    <xf numFmtId="0" fontId="21" fillId="3" borderId="2" xfId="0" applyFont="1" applyFill="1" applyBorder="1" applyAlignment="1" applyProtection="1">
      <alignment horizontal="center" vertical="center"/>
    </xf>
    <xf numFmtId="164" fontId="21" fillId="3" borderId="2" xfId="0" applyNumberFormat="1" applyFont="1" applyFill="1" applyBorder="1" applyAlignment="1" applyProtection="1">
      <alignment horizontal="center" vertical="center"/>
    </xf>
    <xf numFmtId="164" fontId="15" fillId="3" borderId="2" xfId="0" applyNumberFormat="1" applyFont="1" applyFill="1" applyBorder="1" applyAlignment="1" applyProtection="1">
      <alignment horizontal="center" vertical="center"/>
    </xf>
    <xf numFmtId="0" fontId="15" fillId="3" borderId="0" xfId="0" applyFont="1" applyFill="1" applyAlignment="1" applyProtection="1">
      <alignment horizontal="center" vertical="center"/>
    </xf>
    <xf numFmtId="0" fontId="0" fillId="3" borderId="0" xfId="0" applyFill="1" applyAlignment="1" applyProtection="1"/>
    <xf numFmtId="0" fontId="15" fillId="3" borderId="0" xfId="0" applyFont="1" applyFill="1" applyAlignment="1" applyProtection="1"/>
    <xf numFmtId="0" fontId="14" fillId="3" borderId="2" xfId="0" applyFont="1" applyFill="1" applyBorder="1" applyAlignment="1" applyProtection="1">
      <alignment horizontal="center" vertical="center" textRotation="180"/>
    </xf>
    <xf numFmtId="0" fontId="14" fillId="3" borderId="2" xfId="0" applyFont="1" applyFill="1" applyBorder="1" applyAlignment="1" applyProtection="1">
      <alignment horizontal="left" vertical="center" textRotation="180"/>
    </xf>
    <xf numFmtId="0" fontId="15" fillId="3" borderId="2" xfId="0" applyFont="1" applyFill="1" applyBorder="1" applyAlignment="1" applyProtection="1">
      <alignment horizontal="left" vertical="center"/>
    </xf>
    <xf numFmtId="0" fontId="15" fillId="3" borderId="2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23" fillId="13" borderId="2" xfId="0" applyNumberFormat="1" applyFont="1" applyFill="1" applyBorder="1" applyAlignment="1" applyProtection="1"/>
    <xf numFmtId="0" fontId="14" fillId="0" borderId="0" xfId="0" applyFont="1" applyAlignment="1" applyProtection="1">
      <alignment horizontal="center" vertical="center"/>
    </xf>
    <xf numFmtId="0" fontId="20" fillId="0" borderId="2" xfId="1" applyBorder="1" applyProtection="1"/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0" fontId="14" fillId="3" borderId="3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 wrapText="1"/>
    </xf>
    <xf numFmtId="0" fontId="15" fillId="14" borderId="2" xfId="0" applyFont="1" applyFill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14" fillId="14" borderId="2" xfId="0" applyFont="1" applyFill="1" applyBorder="1" applyAlignment="1" applyProtection="1">
      <alignment horizontal="left" vertical="center" wrapText="1"/>
    </xf>
    <xf numFmtId="0" fontId="4" fillId="14" borderId="2" xfId="0" applyFont="1" applyFill="1" applyBorder="1" applyAlignment="1" applyProtection="1">
      <alignment horizontal="left" vertical="center"/>
    </xf>
    <xf numFmtId="0" fontId="0" fillId="14" borderId="2" xfId="0" applyFill="1" applyBorder="1" applyAlignment="1" applyProtection="1">
      <alignment vertical="center"/>
    </xf>
    <xf numFmtId="0" fontId="25" fillId="14" borderId="2" xfId="0" applyFont="1" applyFill="1" applyBorder="1" applyAlignment="1" applyProtection="1"/>
    <xf numFmtId="0" fontId="26" fillId="0" borderId="2" xfId="0" applyFont="1" applyBorder="1" applyAlignment="1" applyProtection="1">
      <alignment horizontal="center" vertical="center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Fixation-Appareil-Tr&#233;pied-Monopode-Plateau/dp/B074X453CY" TargetMode="External"/><Relationship Id="rId13" Type="http://schemas.openxmlformats.org/officeDocument/2006/relationships/hyperlink" Target="https://www.amazon.fr/Plaque-batterie-Soudure-Compatible-Soudeur/dp/B09TT4KMLB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kubii.com/fr/ventilateurs-dissipateurs-thermiques/2739-set-de-4-heat-sink-aluminium-noir-kubii-3272496299450.html" TargetMode="External"/><Relationship Id="rId7" Type="http://schemas.openxmlformats.org/officeDocument/2006/relationships/hyperlink" Target="https://www.amazon.fr/ASHINER-Assortiment-thermor&#233;tractables-isolation-&#233;lectrique/dp/B08XXGNJHG" TargetMode="External"/><Relationship Id="rId12" Type="http://schemas.openxmlformats.org/officeDocument/2006/relationships/hyperlink" Target="https://www.amazon.fr/YIXISI-Batterie-Connecteur-Femelle-Thermor%C3%A9tractable/dp/B0CF898DV3" TargetMode="External"/><Relationship Id="rId17" Type="http://schemas.openxmlformats.org/officeDocument/2006/relationships/hyperlink" Target="https://www.amazon.fr/Geekworm-Raspberry-Installation-Hexagonale-Accessoires/dp/B07MN2GY6Y/ref=sr_1_21" TargetMode="External"/><Relationship Id="rId2" Type="http://schemas.openxmlformats.org/officeDocument/2006/relationships/hyperlink" Target="https://www.kubii.com/fr/batteries-piles/4110-batterie-pour-l-horloge-en-temps-reel-du-raspberry-pi-5-5056561803739.html" TargetMode="External"/><Relationship Id="rId16" Type="http://schemas.openxmlformats.org/officeDocument/2006/relationships/hyperlink" Target="https://www.amazon.fr/0-08-1mm&#178;-Preciva-Sertissage-Connecteurs-Connecteur/dp/B0CVVXWQV1" TargetMode="External"/><Relationship Id="rId1" Type="http://schemas.openxmlformats.org/officeDocument/2006/relationships/hyperlink" Target="https://www.kubii.com/fr/cartes-nano-ordinateurs/4106-1832-raspberry-pi-5-3272496315938.html" TargetMode="External"/><Relationship Id="rId6" Type="http://schemas.openxmlformats.org/officeDocument/2006/relationships/hyperlink" Target="https://www.gotronic.fr/art-jeu-de-3-nappes-pour-pi-zero-et-pi-5-rb-cam-zero-35326.htm" TargetMode="External"/><Relationship Id="rId11" Type="http://schemas.openxmlformats.org/officeDocument/2006/relationships/hyperlink" Target="https://www.amazon.fr/Supernight-Convertisseurs-Transformer-Adjustable-Electricity/dp/B079M9CHV9" TargetMode="External"/><Relationship Id="rId5" Type="http://schemas.openxmlformats.org/officeDocument/2006/relationships/hyperlink" Target="http://edmundoptics.fr/p/4mm-uc-series-fixed-focal-length-lens/2966/" TargetMode="External"/><Relationship Id="rId15" Type="http://schemas.openxmlformats.org/officeDocument/2006/relationships/hyperlink" Target="https://www.gotronic.fr/art-cordon-jst-ph-femelle-4-cts-jst4-22571.htm" TargetMode="External"/><Relationship Id="rId10" Type="http://schemas.openxmlformats.org/officeDocument/2006/relationships/hyperlink" Target="https://www.otronic.nl/fr/circuit-de-protection-bms-3s-avec-fonction-dequili.html" TargetMode="External"/><Relationship Id="rId4" Type="http://schemas.openxmlformats.org/officeDocument/2006/relationships/hyperlink" Target="https://www.kubii.com/fr/cameras-capteurs/2950-camera-hq-officielle-5056561800127.html" TargetMode="External"/><Relationship Id="rId9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14" Type="http://schemas.openxmlformats.org/officeDocument/2006/relationships/hyperlink" Target="https://www.amazon.fr/MMOBIEL-Polyimide-longueur-Antistatique-R%C3%A9sistant/dp/B07W4KWK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80"/>
  <sheetViews>
    <sheetView tabSelected="1" zoomScale="85" zoomScaleNormal="85" workbookViewId="0">
      <pane ySplit="3" topLeftCell="A4" activePane="bottomLeft" state="frozen"/>
      <selection pane="bottomLeft" activeCell="J8" sqref="J8"/>
    </sheetView>
  </sheetViews>
  <sheetFormatPr baseColWidth="10" defaultColWidth="10.58203125" defaultRowHeight="14" x14ac:dyDescent="0.3"/>
  <cols>
    <col min="1" max="1" width="19.08203125" style="1" customWidth="1"/>
    <col min="2" max="2" width="51.58203125" style="2" customWidth="1"/>
    <col min="3" max="3" width="56.33203125" style="3" customWidth="1"/>
    <col min="4" max="4" width="18.58203125" style="4" customWidth="1"/>
    <col min="5" max="5" width="33.58203125" style="4" customWidth="1"/>
    <col min="6" max="6" width="19.4140625" style="5" customWidth="1"/>
    <col min="7" max="7" width="57.08203125" style="4" customWidth="1"/>
    <col min="8" max="8" width="12.6640625" style="5" customWidth="1"/>
    <col min="9" max="9" width="11.83203125" style="6" customWidth="1"/>
    <col min="10" max="10" width="14" style="6" customWidth="1"/>
    <col min="11" max="11" width="13.33203125" style="6" customWidth="1"/>
    <col min="12" max="12" width="23.4140625" style="2" customWidth="1"/>
    <col min="13" max="1017" width="10.6640625" style="2" customWidth="1"/>
    <col min="1018" max="16377" width="10.58203125" style="7"/>
    <col min="16378" max="16380" width="10.6640625" style="2" customWidth="1"/>
    <col min="16381" max="16381" width="10.6640625" style="8" customWidth="1"/>
    <col min="16382" max="16382" width="10.5" style="7" customWidth="1"/>
    <col min="16383" max="16384" width="10.5" style="8" customWidth="1"/>
  </cols>
  <sheetData>
    <row r="1" spans="1:12 16378:16383" ht="39.75" customHeight="1" x14ac:dyDescent="0.3">
      <c r="A1" s="65" t="s">
        <v>79</v>
      </c>
      <c r="B1" s="65"/>
      <c r="C1" s="65"/>
      <c r="D1" s="9" t="s">
        <v>0</v>
      </c>
      <c r="E1" s="10">
        <f ca="1">TODAY()</f>
        <v>45943</v>
      </c>
      <c r="F1" s="5" t="s">
        <v>78</v>
      </c>
      <c r="G1" s="11"/>
      <c r="H1" s="12"/>
      <c r="I1" s="13"/>
      <c r="J1" s="14"/>
    </row>
    <row r="3" spans="1:12 16378:16383" s="17" customFormat="1" ht="62.65" customHeight="1" x14ac:dyDescent="0.4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6" t="s">
        <v>9</v>
      </c>
      <c r="J3" s="16" t="s">
        <v>10</v>
      </c>
      <c r="K3" s="16" t="s">
        <v>11</v>
      </c>
      <c r="XFA3" s="8"/>
      <c r="XFB3" s="18"/>
      <c r="XFC3" s="8"/>
    </row>
    <row r="4" spans="1:12 16378:16383" s="5" customFormat="1" ht="16.75" customHeight="1" x14ac:dyDescent="0.3">
      <c r="A4" s="64" t="s">
        <v>81</v>
      </c>
      <c r="B4" s="19" t="s">
        <v>12</v>
      </c>
      <c r="C4" s="20" t="s">
        <v>13</v>
      </c>
      <c r="D4" s="21"/>
      <c r="E4" s="21"/>
      <c r="F4" s="22" t="s">
        <v>14</v>
      </c>
      <c r="G4" s="23" t="s">
        <v>15</v>
      </c>
      <c r="H4" s="24">
        <v>1</v>
      </c>
      <c r="I4" s="25">
        <v>56.25</v>
      </c>
      <c r="J4" s="25">
        <f>I4*1.2</f>
        <v>67.5</v>
      </c>
      <c r="K4" s="25">
        <f t="shared" ref="K4:K15" si="0">J4*H4</f>
        <v>67.5</v>
      </c>
      <c r="XFA4" s="8"/>
      <c r="XFB4" s="7"/>
      <c r="XFC4" s="8"/>
    </row>
    <row r="5" spans="1:12 16378:16383" s="28" customFormat="1" ht="16.75" customHeight="1" x14ac:dyDescent="0.3">
      <c r="A5" s="64"/>
      <c r="B5" s="26" t="s">
        <v>16</v>
      </c>
      <c r="C5" s="20" t="s">
        <v>17</v>
      </c>
      <c r="D5" s="21"/>
      <c r="E5" s="21"/>
      <c r="F5" s="22" t="s">
        <v>14</v>
      </c>
      <c r="G5" s="23" t="s">
        <v>18</v>
      </c>
      <c r="H5" s="24">
        <v>1</v>
      </c>
      <c r="I5" s="27" t="s">
        <v>19</v>
      </c>
      <c r="J5" s="25">
        <v>6</v>
      </c>
      <c r="K5" s="25">
        <f t="shared" si="0"/>
        <v>6</v>
      </c>
      <c r="XFA5" s="8"/>
      <c r="XFB5" s="7"/>
      <c r="XFC5" s="8"/>
    </row>
    <row r="6" spans="1:12 16378:16383" s="28" customFormat="1" ht="16.75" customHeight="1" x14ac:dyDescent="0.3">
      <c r="A6" s="64"/>
      <c r="B6" s="26" t="s">
        <v>20</v>
      </c>
      <c r="C6" s="20" t="s">
        <v>21</v>
      </c>
      <c r="D6" s="21"/>
      <c r="E6" s="21"/>
      <c r="F6" s="22" t="s">
        <v>14</v>
      </c>
      <c r="G6" s="20" t="s">
        <v>22</v>
      </c>
      <c r="H6" s="24">
        <v>1</v>
      </c>
      <c r="I6" s="25" t="s">
        <v>19</v>
      </c>
      <c r="J6" s="25">
        <v>2.4500000000000002</v>
      </c>
      <c r="K6" s="25">
        <f t="shared" si="0"/>
        <v>2.4500000000000002</v>
      </c>
      <c r="XFA6" s="8"/>
      <c r="XFB6" s="7"/>
      <c r="XFC6" s="8"/>
    </row>
    <row r="7" spans="1:12 16378:16383" s="28" customFormat="1" ht="16.75" customHeight="1" x14ac:dyDescent="0.3">
      <c r="A7" s="64"/>
      <c r="B7" s="67" t="s">
        <v>80</v>
      </c>
      <c r="C7" s="20" t="s">
        <v>23</v>
      </c>
      <c r="D7" s="21"/>
      <c r="E7" s="63"/>
      <c r="F7" s="22" t="s">
        <v>27</v>
      </c>
      <c r="G7" s="20" t="s">
        <v>83</v>
      </c>
      <c r="H7" s="24">
        <v>1</v>
      </c>
      <c r="I7" s="25">
        <v>47.02</v>
      </c>
      <c r="J7" s="25">
        <v>56.42</v>
      </c>
      <c r="K7" s="25">
        <f t="shared" si="0"/>
        <v>56.42</v>
      </c>
      <c r="XFA7" s="8"/>
      <c r="XFB7" s="7"/>
      <c r="XFC7" s="8"/>
    </row>
    <row r="8" spans="1:12 16378:16383" s="34" customFormat="1" ht="16.75" customHeight="1" x14ac:dyDescent="0.3">
      <c r="A8" s="64"/>
      <c r="B8" s="68" t="s">
        <v>24</v>
      </c>
      <c r="C8" s="30" t="s">
        <v>25</v>
      </c>
      <c r="D8" s="31"/>
      <c r="E8" s="69"/>
      <c r="F8" s="22" t="s">
        <v>14</v>
      </c>
      <c r="G8" s="31" t="s">
        <v>26</v>
      </c>
      <c r="H8" s="32">
        <v>1</v>
      </c>
      <c r="I8" s="33">
        <v>48.75</v>
      </c>
      <c r="J8" s="33">
        <f t="shared" ref="J8:J10" si="1">I8*1.2</f>
        <v>58.5</v>
      </c>
      <c r="K8" s="25">
        <f t="shared" si="0"/>
        <v>58.5</v>
      </c>
      <c r="XFC8" s="8"/>
    </row>
    <row r="9" spans="1:12 16378:16383" s="5" customFormat="1" ht="16.75" customHeight="1" x14ac:dyDescent="0.3">
      <c r="A9" s="64"/>
      <c r="B9" s="26" t="s">
        <v>28</v>
      </c>
      <c r="C9" s="20" t="s">
        <v>29</v>
      </c>
      <c r="D9" s="21"/>
      <c r="E9" s="21"/>
      <c r="F9" s="22" t="s">
        <v>30</v>
      </c>
      <c r="G9" s="20" t="s">
        <v>31</v>
      </c>
      <c r="H9" s="24">
        <v>1</v>
      </c>
      <c r="I9" s="35">
        <v>260</v>
      </c>
      <c r="J9" s="25">
        <f t="shared" si="1"/>
        <v>312</v>
      </c>
      <c r="K9" s="25">
        <f t="shared" si="0"/>
        <v>312</v>
      </c>
      <c r="L9" s="5" t="s">
        <v>76</v>
      </c>
      <c r="XFA9" s="8"/>
      <c r="XFB9" s="7"/>
      <c r="XFC9" s="8"/>
    </row>
    <row r="10" spans="1:12 16378:16383" s="5" customFormat="1" ht="28.75" customHeight="1" x14ac:dyDescent="0.3">
      <c r="A10" s="64"/>
      <c r="B10" s="26" t="s">
        <v>32</v>
      </c>
      <c r="C10" s="20" t="s">
        <v>33</v>
      </c>
      <c r="D10" s="21"/>
      <c r="E10" s="21"/>
      <c r="F10" s="22" t="s">
        <v>34</v>
      </c>
      <c r="G10" s="23" t="s">
        <v>35</v>
      </c>
      <c r="H10" s="24">
        <v>1</v>
      </c>
      <c r="I10" s="25">
        <v>8.92</v>
      </c>
      <c r="J10" s="25">
        <f t="shared" si="1"/>
        <v>10.703999999999999</v>
      </c>
      <c r="K10" s="25">
        <f t="shared" si="0"/>
        <v>10.703999999999999</v>
      </c>
      <c r="XFA10" s="8"/>
      <c r="XFB10" s="7"/>
      <c r="XFC10" s="8"/>
    </row>
    <row r="11" spans="1:12 16378:16383" s="5" customFormat="1" ht="40.65" customHeight="1" x14ac:dyDescent="0.3">
      <c r="A11" s="64"/>
      <c r="B11" s="26" t="s">
        <v>37</v>
      </c>
      <c r="C11" s="20" t="s">
        <v>38</v>
      </c>
      <c r="D11" s="21"/>
      <c r="E11" s="21"/>
      <c r="F11" s="22" t="s">
        <v>36</v>
      </c>
      <c r="G11" s="20" t="s">
        <v>39</v>
      </c>
      <c r="H11" s="24">
        <v>1</v>
      </c>
      <c r="I11" s="35" t="s">
        <v>19</v>
      </c>
      <c r="J11" s="25">
        <v>11.89</v>
      </c>
      <c r="K11" s="25">
        <f t="shared" si="0"/>
        <v>11.89</v>
      </c>
      <c r="XEX11" s="7"/>
      <c r="XEY11" s="7"/>
      <c r="XEZ11" s="7"/>
      <c r="XFA11" s="8"/>
      <c r="XFB11" s="7"/>
      <c r="XFC11" s="8"/>
    </row>
    <row r="12" spans="1:12 16378:16383" s="5" customFormat="1" ht="52.65" customHeight="1" x14ac:dyDescent="0.3">
      <c r="A12" s="64"/>
      <c r="B12" s="26" t="s">
        <v>40</v>
      </c>
      <c r="C12" s="20" t="s">
        <v>41</v>
      </c>
      <c r="D12" s="21"/>
      <c r="E12" s="21"/>
      <c r="F12" s="22" t="s">
        <v>36</v>
      </c>
      <c r="G12" s="21" t="s">
        <v>42</v>
      </c>
      <c r="H12" s="24">
        <v>1</v>
      </c>
      <c r="I12" s="25" t="s">
        <v>19</v>
      </c>
      <c r="J12" s="25">
        <v>29.99</v>
      </c>
      <c r="K12" s="25">
        <f t="shared" si="0"/>
        <v>29.99</v>
      </c>
      <c r="XFA12" s="8"/>
      <c r="XFB12" s="7"/>
      <c r="XFC12" s="8"/>
    </row>
    <row r="13" spans="1:12 16378:16383" s="5" customFormat="1" ht="40.65" customHeight="1" x14ac:dyDescent="0.3">
      <c r="A13" s="64"/>
      <c r="B13" s="26" t="s">
        <v>43</v>
      </c>
      <c r="C13" s="20" t="s">
        <v>44</v>
      </c>
      <c r="D13" s="21"/>
      <c r="E13" s="21"/>
      <c r="F13" s="22" t="s">
        <v>36</v>
      </c>
      <c r="G13" s="20" t="s">
        <v>45</v>
      </c>
      <c r="H13" s="24">
        <v>1</v>
      </c>
      <c r="I13" s="25" t="s">
        <v>19</v>
      </c>
      <c r="J13" s="25">
        <v>16.989999999999998</v>
      </c>
      <c r="K13" s="25">
        <f t="shared" si="0"/>
        <v>16.989999999999998</v>
      </c>
      <c r="XFA13" s="8"/>
      <c r="XFB13" s="7"/>
      <c r="XFC13" s="8"/>
    </row>
    <row r="14" spans="1:12 16378:16383" s="5" customFormat="1" ht="40.65" customHeight="1" x14ac:dyDescent="0.3">
      <c r="A14" s="64"/>
      <c r="B14" s="26" t="s">
        <v>46</v>
      </c>
      <c r="C14" s="20" t="s">
        <v>47</v>
      </c>
      <c r="D14" s="21"/>
      <c r="E14" s="21"/>
      <c r="F14" s="22" t="s">
        <v>36</v>
      </c>
      <c r="G14" s="20" t="s">
        <v>48</v>
      </c>
      <c r="H14" s="24">
        <v>1</v>
      </c>
      <c r="I14" s="25" t="s">
        <v>19</v>
      </c>
      <c r="J14" s="25">
        <v>11.99</v>
      </c>
      <c r="K14" s="25">
        <f t="shared" si="0"/>
        <v>11.99</v>
      </c>
      <c r="XFA14" s="8"/>
      <c r="XFB14" s="7"/>
      <c r="XFC14" s="8"/>
    </row>
    <row r="15" spans="1:12 16378:16383" s="5" customFormat="1" ht="40.65" customHeight="1" x14ac:dyDescent="0.3">
      <c r="A15" s="64"/>
      <c r="B15" s="67" t="s">
        <v>49</v>
      </c>
      <c r="C15" s="20" t="s">
        <v>50</v>
      </c>
      <c r="D15" s="21"/>
      <c r="E15" s="63"/>
      <c r="F15" s="22" t="s">
        <v>36</v>
      </c>
      <c r="G15" s="20" t="s">
        <v>51</v>
      </c>
      <c r="H15" s="24">
        <v>1</v>
      </c>
      <c r="I15" s="25" t="s">
        <v>19</v>
      </c>
      <c r="J15" s="25">
        <v>6.97</v>
      </c>
      <c r="K15" s="25">
        <f t="shared" si="0"/>
        <v>6.97</v>
      </c>
      <c r="XFA15" s="8"/>
      <c r="XFB15" s="7"/>
      <c r="XFC15" s="8"/>
    </row>
    <row r="16" spans="1:12 16378:16383" s="5" customFormat="1" ht="20.25" customHeight="1" x14ac:dyDescent="0.3">
      <c r="A16" s="62"/>
      <c r="B16" s="59"/>
      <c r="C16" s="60"/>
      <c r="D16" s="21"/>
      <c r="E16" s="21"/>
      <c r="F16" s="22"/>
      <c r="G16" s="20"/>
      <c r="H16" s="24"/>
      <c r="I16" s="25"/>
      <c r="J16" s="37" t="s">
        <v>52</v>
      </c>
      <c r="K16" s="37">
        <f>SUM(K5:K15)</f>
        <v>523.904</v>
      </c>
      <c r="XFA16" s="8"/>
      <c r="XFB16" s="7"/>
      <c r="XFC16" s="8"/>
    </row>
    <row r="17" spans="1:16383" s="44" customFormat="1" ht="16.649999999999999" customHeight="1" x14ac:dyDescent="0.3">
      <c r="A17" s="61"/>
      <c r="B17" s="39"/>
      <c r="C17" s="40"/>
      <c r="D17" s="40"/>
      <c r="E17" s="40"/>
      <c r="F17" s="41"/>
      <c r="G17" s="40"/>
      <c r="H17" s="41"/>
      <c r="I17" s="42"/>
      <c r="J17" s="43"/>
      <c r="K17" s="43"/>
      <c r="XFA17" s="45"/>
      <c r="XFB17" s="46"/>
      <c r="XFC17" s="8"/>
    </row>
    <row r="18" spans="1:16383" s="44" customFormat="1" ht="16.649999999999999" customHeight="1" x14ac:dyDescent="0.3">
      <c r="A18" s="47"/>
      <c r="B18" s="48"/>
      <c r="C18" s="49"/>
      <c r="D18" s="49"/>
      <c r="E18" s="49"/>
      <c r="F18" s="50"/>
      <c r="G18" s="49"/>
      <c r="H18" s="50"/>
      <c r="I18" s="43"/>
      <c r="J18" s="43"/>
      <c r="K18" s="43"/>
      <c r="XFA18" s="45"/>
      <c r="XFB18" s="46"/>
      <c r="XFC18" s="8"/>
    </row>
    <row r="19" spans="1:16383" ht="28.75" customHeight="1" x14ac:dyDescent="0.3">
      <c r="A19" s="71" t="s">
        <v>82</v>
      </c>
      <c r="B19" s="29" t="s">
        <v>53</v>
      </c>
      <c r="C19" s="51" t="s">
        <v>54</v>
      </c>
      <c r="D19" s="52"/>
      <c r="E19" s="52"/>
      <c r="F19" s="53" t="s">
        <v>55</v>
      </c>
      <c r="G19" s="30" t="s">
        <v>56</v>
      </c>
      <c r="H19" s="53">
        <v>9</v>
      </c>
      <c r="I19" s="33">
        <v>9.83</v>
      </c>
      <c r="J19" s="33">
        <f>I19*1.2</f>
        <v>11.795999999999999</v>
      </c>
      <c r="K19" s="33">
        <f t="shared" ref="K19:K24" si="2">J19*H19</f>
        <v>106.16399999999999</v>
      </c>
      <c r="L19" s="8" t="s">
        <v>77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</row>
    <row r="20" spans="1:16383" s="5" customFormat="1" ht="16.75" customHeight="1" x14ac:dyDescent="0.3">
      <c r="A20" s="66"/>
      <c r="B20" s="19" t="s">
        <v>57</v>
      </c>
      <c r="C20" s="20" t="s">
        <v>58</v>
      </c>
      <c r="D20" s="36"/>
      <c r="E20" s="36"/>
      <c r="F20" s="22" t="s">
        <v>59</v>
      </c>
      <c r="G20" s="20" t="s">
        <v>60</v>
      </c>
      <c r="H20" s="24">
        <v>1</v>
      </c>
      <c r="I20" s="25" t="s">
        <v>19</v>
      </c>
      <c r="J20" s="25">
        <v>2.5</v>
      </c>
      <c r="K20" s="33">
        <f t="shared" si="2"/>
        <v>2.5</v>
      </c>
      <c r="XFA20" s="8"/>
      <c r="XFB20" s="7"/>
      <c r="XFC20" s="8"/>
    </row>
    <row r="21" spans="1:16383" s="5" customFormat="1" ht="40.65" customHeight="1" x14ac:dyDescent="0.3">
      <c r="A21" s="66"/>
      <c r="B21" s="19" t="s">
        <v>61</v>
      </c>
      <c r="C21" s="20" t="s">
        <v>62</v>
      </c>
      <c r="D21" s="21"/>
      <c r="E21" s="21"/>
      <c r="F21" s="22" t="s">
        <v>36</v>
      </c>
      <c r="G21" s="20" t="s">
        <v>63</v>
      </c>
      <c r="H21" s="24">
        <v>1</v>
      </c>
      <c r="I21" s="25" t="s">
        <v>19</v>
      </c>
      <c r="J21" s="25">
        <v>16.32</v>
      </c>
      <c r="K21" s="33">
        <f t="shared" si="2"/>
        <v>16.32</v>
      </c>
      <c r="XFA21" s="8"/>
      <c r="XFB21" s="7"/>
      <c r="XFC21" s="8"/>
    </row>
    <row r="22" spans="1:16383" ht="28.75" customHeight="1" x14ac:dyDescent="0.3">
      <c r="A22" s="66"/>
      <c r="B22" s="68" t="s">
        <v>64</v>
      </c>
      <c r="C22" s="51" t="s">
        <v>65</v>
      </c>
      <c r="D22" s="52"/>
      <c r="E22" s="70"/>
      <c r="F22" s="53" t="s">
        <v>36</v>
      </c>
      <c r="G22" s="58" t="s">
        <v>66</v>
      </c>
      <c r="H22" s="53">
        <v>1</v>
      </c>
      <c r="I22" s="33" t="s">
        <v>19</v>
      </c>
      <c r="J22" s="33">
        <v>8.99</v>
      </c>
      <c r="K22" s="33">
        <f t="shared" si="2"/>
        <v>8.99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B22" s="8"/>
    </row>
    <row r="23" spans="1:16383" s="5" customFormat="1" ht="28.75" customHeight="1" x14ac:dyDescent="0.3">
      <c r="A23" s="66"/>
      <c r="B23" s="19" t="s">
        <v>67</v>
      </c>
      <c r="C23" s="20" t="s">
        <v>68</v>
      </c>
      <c r="D23" s="21"/>
      <c r="E23" s="21"/>
      <c r="F23" s="22" t="s">
        <v>36</v>
      </c>
      <c r="G23" s="58" t="s">
        <v>69</v>
      </c>
      <c r="H23" s="24">
        <v>1</v>
      </c>
      <c r="I23" s="25" t="s">
        <v>19</v>
      </c>
      <c r="J23" s="25">
        <v>9.99</v>
      </c>
      <c r="K23" s="33">
        <f t="shared" si="2"/>
        <v>9.99</v>
      </c>
      <c r="XFA23" s="8"/>
      <c r="XFB23" s="7"/>
      <c r="XFC23" s="8"/>
    </row>
    <row r="24" spans="1:16383" s="5" customFormat="1" ht="52.65" customHeight="1" x14ac:dyDescent="0.3">
      <c r="A24" s="66"/>
      <c r="B24" s="19" t="s">
        <v>70</v>
      </c>
      <c r="C24" s="20" t="s">
        <v>71</v>
      </c>
      <c r="D24" s="21"/>
      <c r="E24" s="21"/>
      <c r="F24" s="22" t="s">
        <v>36</v>
      </c>
      <c r="G24" s="58" t="s">
        <v>72</v>
      </c>
      <c r="H24" s="24">
        <v>1</v>
      </c>
      <c r="I24" s="25" t="s">
        <v>19</v>
      </c>
      <c r="J24" s="25">
        <v>11.99</v>
      </c>
      <c r="K24" s="33">
        <f t="shared" si="2"/>
        <v>11.99</v>
      </c>
      <c r="XFA24" s="8"/>
      <c r="XFB24" s="7"/>
      <c r="XFC24" s="8"/>
    </row>
    <row r="25" spans="1:16383" s="5" customFormat="1" ht="28.75" customHeight="1" x14ac:dyDescent="0.3">
      <c r="A25" s="66"/>
      <c r="B25" s="19" t="s">
        <v>73</v>
      </c>
      <c r="C25" s="20" t="s">
        <v>74</v>
      </c>
      <c r="D25" s="21"/>
      <c r="E25" s="21"/>
      <c r="F25" s="22" t="s">
        <v>34</v>
      </c>
      <c r="G25" s="21" t="s">
        <v>75</v>
      </c>
      <c r="H25" s="24">
        <v>1</v>
      </c>
      <c r="I25" s="25">
        <v>1.83</v>
      </c>
      <c r="J25" s="25">
        <f>I25*1.2</f>
        <v>2.1960000000000002</v>
      </c>
      <c r="K25" s="33">
        <f t="shared" ref="K25" si="3">J25*H25</f>
        <v>2.1960000000000002</v>
      </c>
      <c r="XFA25" s="8"/>
      <c r="XFB25" s="7"/>
      <c r="XFC25" s="8"/>
    </row>
    <row r="26" spans="1:16383" ht="20.25" customHeight="1" x14ac:dyDescent="0.4">
      <c r="A26" s="66"/>
      <c r="B26" s="54"/>
      <c r="C26" s="55"/>
      <c r="D26" s="52"/>
      <c r="E26" s="52"/>
      <c r="F26" s="52"/>
      <c r="G26" s="55"/>
      <c r="H26" s="52"/>
      <c r="I26" s="52"/>
      <c r="J26" s="37" t="s">
        <v>52</v>
      </c>
      <c r="K26" s="56">
        <f>SUM(K19:K25)</f>
        <v>158.15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B26" s="8"/>
    </row>
    <row r="27" spans="1:16383" s="44" customFormat="1" ht="16.649999999999999" customHeight="1" x14ac:dyDescent="0.3">
      <c r="A27" s="38"/>
      <c r="B27" s="50"/>
      <c r="C27" s="49"/>
      <c r="D27" s="49"/>
      <c r="E27" s="49"/>
      <c r="F27" s="50"/>
      <c r="G27" s="49"/>
      <c r="H27" s="50"/>
      <c r="I27" s="43"/>
      <c r="J27" s="43"/>
      <c r="K27" s="43"/>
      <c r="XFA27" s="45"/>
      <c r="XFB27" s="46"/>
      <c r="XFC27" s="8"/>
    </row>
    <row r="28" spans="1:16383" s="5" customFormat="1" x14ac:dyDescent="0.3">
      <c r="A28" s="57"/>
      <c r="C28" s="3"/>
      <c r="D28" s="3"/>
      <c r="E28" s="3"/>
      <c r="G28" s="3"/>
      <c r="I28" s="6"/>
      <c r="J28" s="6"/>
      <c r="K28" s="6"/>
      <c r="XFA28" s="8"/>
      <c r="XFB28" s="7"/>
      <c r="XFC28" s="8"/>
    </row>
    <row r="29" spans="1:16383" s="5" customFormat="1" x14ac:dyDescent="0.3">
      <c r="A29" s="57"/>
      <c r="C29" s="3"/>
      <c r="D29" s="3"/>
      <c r="E29" s="3"/>
      <c r="G29" s="3"/>
      <c r="I29" s="6"/>
      <c r="J29" s="6"/>
      <c r="K29" s="6"/>
      <c r="XFA29" s="8"/>
      <c r="XFB29" s="7"/>
      <c r="XFC29" s="8"/>
    </row>
    <row r="30" spans="1:16383" s="5" customFormat="1" x14ac:dyDescent="0.3">
      <c r="A30" s="57"/>
      <c r="C30" s="3"/>
      <c r="D30" s="3"/>
      <c r="E30" s="3"/>
      <c r="G30" s="3"/>
      <c r="I30" s="6"/>
      <c r="J30" s="6"/>
      <c r="K30" s="6"/>
      <c r="XFA30" s="8"/>
      <c r="XFB30" s="7"/>
      <c r="XFC30" s="8"/>
    </row>
    <row r="31" spans="1:16383" s="5" customFormat="1" x14ac:dyDescent="0.3">
      <c r="A31" s="57"/>
      <c r="C31" s="3"/>
      <c r="D31" s="3"/>
      <c r="E31" s="3"/>
      <c r="G31" s="3"/>
      <c r="I31" s="6"/>
      <c r="J31" s="6"/>
      <c r="K31" s="6"/>
      <c r="XFA31" s="8"/>
      <c r="XFB31" s="7"/>
      <c r="XFC31" s="8"/>
    </row>
    <row r="32" spans="1:16383" s="5" customFormat="1" x14ac:dyDescent="0.3">
      <c r="A32" s="57"/>
      <c r="C32" s="3"/>
      <c r="D32" s="3"/>
      <c r="E32" s="3"/>
      <c r="G32" s="3"/>
      <c r="I32" s="6"/>
      <c r="J32" s="6"/>
      <c r="K32" s="6"/>
      <c r="XFA32" s="8"/>
      <c r="XFB32" s="7"/>
      <c r="XFC32" s="8"/>
    </row>
    <row r="33" spans="1:11 16378:16383" s="5" customFormat="1" x14ac:dyDescent="0.3">
      <c r="A33" s="57"/>
      <c r="C33" s="3"/>
      <c r="D33" s="3"/>
      <c r="E33" s="3"/>
      <c r="G33" s="3"/>
      <c r="I33" s="6"/>
      <c r="J33" s="6"/>
      <c r="K33" s="6"/>
      <c r="XFA33" s="8"/>
      <c r="XFB33" s="7"/>
      <c r="XFC33" s="8"/>
    </row>
    <row r="34" spans="1:11 16378:16383" x14ac:dyDescent="0.3">
      <c r="XEX34" s="5"/>
      <c r="XEY34" s="5"/>
      <c r="XEZ34" s="5"/>
    </row>
    <row r="35" spans="1:11 16378:16383" x14ac:dyDescent="0.3">
      <c r="XEX35" s="5"/>
      <c r="XEY35" s="5"/>
      <c r="XEZ35" s="5"/>
    </row>
    <row r="36" spans="1:11 16378:16383" x14ac:dyDescent="0.3">
      <c r="XEX36" s="5"/>
      <c r="XEY36" s="5"/>
      <c r="XEZ36" s="5"/>
    </row>
    <row r="37" spans="1:11 16378:16383" x14ac:dyDescent="0.3">
      <c r="XEX37" s="5"/>
      <c r="XEY37" s="5"/>
      <c r="XEZ37" s="5"/>
    </row>
    <row r="38" spans="1:11 16378:16383" x14ac:dyDescent="0.3">
      <c r="XEX38" s="5"/>
      <c r="XEY38" s="5"/>
      <c r="XEZ38" s="5"/>
    </row>
    <row r="39" spans="1:11 16378:16383" x14ac:dyDescent="0.3">
      <c r="XEX39" s="5"/>
      <c r="XEY39" s="5"/>
      <c r="XEZ39" s="5"/>
    </row>
    <row r="40" spans="1:11 16378:16383" x14ac:dyDescent="0.3">
      <c r="XEX40" s="5"/>
      <c r="XEY40" s="5"/>
      <c r="XEZ40" s="5"/>
    </row>
    <row r="41" spans="1:11 16378:16383" x14ac:dyDescent="0.3">
      <c r="XEX41" s="5"/>
      <c r="XEY41" s="5"/>
      <c r="XEZ41" s="5"/>
    </row>
    <row r="42" spans="1:11 16378:16383" x14ac:dyDescent="0.3">
      <c r="XEX42" s="5"/>
      <c r="XEY42" s="5"/>
      <c r="XEZ42" s="5"/>
    </row>
    <row r="43" spans="1:11 16378:16383" x14ac:dyDescent="0.3">
      <c r="XEX43" s="5"/>
      <c r="XEY43" s="5"/>
      <c r="XEZ43" s="5"/>
    </row>
    <row r="44" spans="1:11 16378:16383" x14ac:dyDescent="0.3">
      <c r="XEX44" s="5"/>
      <c r="XEY44" s="5"/>
      <c r="XEZ44" s="5"/>
    </row>
    <row r="45" spans="1:11 16378:16383" x14ac:dyDescent="0.3">
      <c r="XEX45" s="5"/>
      <c r="XEY45" s="5"/>
      <c r="XEZ45" s="5"/>
    </row>
    <row r="46" spans="1:11 16378:16383" x14ac:dyDescent="0.3">
      <c r="XEX46" s="5"/>
      <c r="XEY46" s="5"/>
      <c r="XEZ46" s="5"/>
    </row>
    <row r="47" spans="1:11 16378:16383" x14ac:dyDescent="0.3">
      <c r="XEX47" s="5"/>
      <c r="XEY47" s="5"/>
      <c r="XEZ47" s="5"/>
    </row>
    <row r="48" spans="1:11 16378:16383" x14ac:dyDescent="0.3">
      <c r="XEX48" s="5"/>
      <c r="XEY48" s="5"/>
      <c r="XEZ48" s="5"/>
    </row>
    <row r="49" spans="16378:16380" x14ac:dyDescent="0.3">
      <c r="XEX49" s="5"/>
      <c r="XEY49" s="5"/>
      <c r="XEZ49" s="5"/>
    </row>
    <row r="50" spans="16378:16380" x14ac:dyDescent="0.3">
      <c r="XEX50" s="5"/>
      <c r="XEY50" s="5"/>
      <c r="XEZ50" s="5"/>
    </row>
    <row r="51" spans="16378:16380" x14ac:dyDescent="0.3">
      <c r="XEX51" s="5"/>
      <c r="XEY51" s="5"/>
      <c r="XEZ51" s="5"/>
    </row>
    <row r="52" spans="16378:16380" x14ac:dyDescent="0.3">
      <c r="XEX52" s="5"/>
      <c r="XEY52" s="5"/>
      <c r="XEZ52" s="5"/>
    </row>
    <row r="53" spans="16378:16380" x14ac:dyDescent="0.3">
      <c r="XEX53" s="5"/>
      <c r="XEY53" s="5"/>
      <c r="XEZ53" s="5"/>
    </row>
    <row r="54" spans="16378:16380" x14ac:dyDescent="0.3">
      <c r="XEX54" s="5"/>
      <c r="XEY54" s="5"/>
      <c r="XEZ54" s="5"/>
    </row>
    <row r="55" spans="16378:16380" x14ac:dyDescent="0.3">
      <c r="XEX55" s="5"/>
      <c r="XEY55" s="5"/>
      <c r="XEZ55" s="5"/>
    </row>
    <row r="56" spans="16378:16380" x14ac:dyDescent="0.3">
      <c r="XEX56" s="5"/>
      <c r="XEY56" s="5"/>
      <c r="XEZ56" s="5"/>
    </row>
    <row r="57" spans="16378:16380" x14ac:dyDescent="0.3">
      <c r="XEX57" s="5"/>
      <c r="XEY57" s="5"/>
      <c r="XEZ57" s="5"/>
    </row>
    <row r="58" spans="16378:16380" x14ac:dyDescent="0.3">
      <c r="XEX58" s="5"/>
      <c r="XEY58" s="5"/>
      <c r="XEZ58" s="5"/>
    </row>
    <row r="59" spans="16378:16380" x14ac:dyDescent="0.3">
      <c r="XEX59" s="5"/>
      <c r="XEY59" s="5"/>
      <c r="XEZ59" s="5"/>
    </row>
    <row r="60" spans="16378:16380" x14ac:dyDescent="0.3">
      <c r="XEX60" s="5"/>
      <c r="XEY60" s="5"/>
      <c r="XEZ60" s="5"/>
    </row>
    <row r="61" spans="16378:16380" x14ac:dyDescent="0.3">
      <c r="XEX61" s="5"/>
      <c r="XEY61" s="5"/>
      <c r="XEZ61" s="5"/>
    </row>
    <row r="62" spans="16378:16380" x14ac:dyDescent="0.3">
      <c r="XEX62" s="5"/>
      <c r="XEY62" s="5"/>
      <c r="XEZ62" s="5"/>
    </row>
    <row r="63" spans="16378:16380" x14ac:dyDescent="0.3">
      <c r="XEX63" s="5"/>
      <c r="XEY63" s="5"/>
      <c r="XEZ63" s="5"/>
    </row>
    <row r="64" spans="16378:16380" x14ac:dyDescent="0.3">
      <c r="XEX64" s="5"/>
      <c r="XEY64" s="5"/>
      <c r="XEZ64" s="5"/>
    </row>
    <row r="65" spans="16378:16380" x14ac:dyDescent="0.3">
      <c r="XEX65" s="5"/>
      <c r="XEY65" s="5"/>
      <c r="XEZ65" s="5"/>
    </row>
    <row r="66" spans="16378:16380" x14ac:dyDescent="0.3">
      <c r="XEX66" s="5"/>
      <c r="XEY66" s="5"/>
      <c r="XEZ66" s="5"/>
    </row>
    <row r="67" spans="16378:16380" x14ac:dyDescent="0.3">
      <c r="XEX67" s="5"/>
      <c r="XEY67" s="5"/>
      <c r="XEZ67" s="5"/>
    </row>
    <row r="68" spans="16378:16380" x14ac:dyDescent="0.3">
      <c r="XEX68" s="5"/>
      <c r="XEY68" s="5"/>
      <c r="XEZ68" s="5"/>
    </row>
    <row r="69" spans="16378:16380" x14ac:dyDescent="0.3">
      <c r="XEX69" s="5"/>
      <c r="XEY69" s="5"/>
      <c r="XEZ69" s="5"/>
    </row>
    <row r="70" spans="16378:16380" x14ac:dyDescent="0.3">
      <c r="XEX70" s="5"/>
      <c r="XEY70" s="5"/>
      <c r="XEZ70" s="5"/>
    </row>
    <row r="71" spans="16378:16380" x14ac:dyDescent="0.3">
      <c r="XEX71" s="5"/>
      <c r="XEY71" s="5"/>
      <c r="XEZ71" s="5"/>
    </row>
    <row r="72" spans="16378:16380" x14ac:dyDescent="0.3">
      <c r="XEX72" s="5"/>
      <c r="XEY72" s="5"/>
      <c r="XEZ72" s="5"/>
    </row>
    <row r="73" spans="16378:16380" x14ac:dyDescent="0.3">
      <c r="XEX73" s="5"/>
      <c r="XEY73" s="5"/>
      <c r="XEZ73" s="5"/>
    </row>
    <row r="74" spans="16378:16380" x14ac:dyDescent="0.3">
      <c r="XEX74" s="5"/>
      <c r="XEY74" s="5"/>
      <c r="XEZ74" s="5"/>
    </row>
    <row r="75" spans="16378:16380" x14ac:dyDescent="0.3">
      <c r="XEX75" s="5"/>
      <c r="XEY75" s="5"/>
      <c r="XEZ75" s="5"/>
    </row>
    <row r="76" spans="16378:16380" x14ac:dyDescent="0.3">
      <c r="XEX76" s="5"/>
      <c r="XEY76" s="5"/>
      <c r="XEZ76" s="5"/>
    </row>
    <row r="77" spans="16378:16380" x14ac:dyDescent="0.3">
      <c r="XEX77" s="5"/>
      <c r="XEY77" s="5"/>
      <c r="XEZ77" s="5"/>
    </row>
    <row r="78" spans="16378:16380" x14ac:dyDescent="0.3">
      <c r="XEX78" s="5"/>
      <c r="XEY78" s="5"/>
      <c r="XEZ78" s="5"/>
    </row>
    <row r="79" spans="16378:16380" x14ac:dyDescent="0.3">
      <c r="XEX79" s="5"/>
      <c r="XEY79" s="5"/>
      <c r="XEZ79" s="5"/>
    </row>
    <row r="80" spans="16378:16380" x14ac:dyDescent="0.3">
      <c r="XEX80" s="5"/>
      <c r="XEY80" s="5"/>
      <c r="XEZ80" s="5"/>
    </row>
  </sheetData>
  <mergeCells count="3">
    <mergeCell ref="A1:C1"/>
    <mergeCell ref="A4:A15"/>
    <mergeCell ref="A19:A26"/>
  </mergeCells>
  <hyperlinks>
    <hyperlink ref="G4" r:id="rId1" location="/ram-8_gb" xr:uid="{00000000-0004-0000-0000-000000000000}"/>
    <hyperlink ref="G5" r:id="rId2" xr:uid="{00000000-0004-0000-0000-000001000000}"/>
    <hyperlink ref="G6" r:id="rId3" xr:uid="{00000000-0004-0000-0000-000002000000}"/>
    <hyperlink ref="G8" r:id="rId4" xr:uid="{00000000-0004-0000-0000-000004000000}"/>
    <hyperlink ref="G9" r:id="rId5" xr:uid="{00000000-0004-0000-0000-000006000000}"/>
    <hyperlink ref="G10" r:id="rId6" xr:uid="{00000000-0004-0000-0000-000007000000}"/>
    <hyperlink ref="G14" r:id="rId7" xr:uid="{00000000-0004-0000-0000-000016000000}"/>
    <hyperlink ref="G15" r:id="rId8" xr:uid="{00000000-0004-0000-0000-000018000000}"/>
    <hyperlink ref="G19" r:id="rId9" xr:uid="{00000000-0004-0000-0000-00002D000000}"/>
    <hyperlink ref="G20" r:id="rId10" xr:uid="{00000000-0004-0000-0000-00002E000000}"/>
    <hyperlink ref="G21" r:id="rId11" xr:uid="{00000000-0004-0000-0000-000030000000}"/>
    <hyperlink ref="G22" r:id="rId12" xr:uid="{00000000-0004-0000-0000-000031000000}"/>
    <hyperlink ref="G23" r:id="rId13" xr:uid="{00000000-0004-0000-0000-000032000000}"/>
    <hyperlink ref="G24" r:id="rId14" xr:uid="{00000000-0004-0000-0000-000033000000}"/>
    <hyperlink ref="G25" r:id="rId15" xr:uid="{00000000-0004-0000-0000-000038000000}"/>
    <hyperlink ref="G12" r:id="rId16" xr:uid="{00000000-0004-0000-0000-000015000000}"/>
    <hyperlink ref="G11" r:id="rId17" xr:uid="{00000000-0004-0000-0000-000013000000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FAUVARQUE, Ifremer Brest PDG-REM-RDT-LDCM, 02 </cp:lastModifiedBy>
  <cp:revision>154</cp:revision>
  <cp:lastPrinted>2025-09-24T14:23:58Z</cp:lastPrinted>
  <dcterms:created xsi:type="dcterms:W3CDTF">2022-09-30T10:25:47Z</dcterms:created>
  <dcterms:modified xsi:type="dcterms:W3CDTF">2025-10-13T12:42:45Z</dcterms:modified>
  <dc:language>fr-FR</dc:language>
</cp:coreProperties>
</file>